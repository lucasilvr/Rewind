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 Poker" sheetId="1" r:id="rId4"/>
    <sheet state="visible" name="Monitoramento (EVM)" sheetId="2" r:id="rId5"/>
    <sheet state="visible" name="Valor por Membro" sheetId="3" r:id="rId6"/>
    <sheet state="visible" name="Burndown" sheetId="4" r:id="rId7"/>
  </sheets>
  <definedNames/>
  <calcPr/>
  <extLst>
    <ext uri="GoogleSheetsCustomDataVersion2">
      <go:sheetsCustomData xmlns:go="http://customooxmlschemas.google.com/" r:id="rId8" roundtripDataChecksum="5Ncp2sxpxWVDRIZF3c0W6JuXR3IrkU0lbn7Yn8+ttcI="/>
    </ext>
  </extLst>
</workbook>
</file>

<file path=xl/sharedStrings.xml><?xml version="1.0" encoding="utf-8"?>
<sst xmlns="http://schemas.openxmlformats.org/spreadsheetml/2006/main" count="119" uniqueCount="97">
  <si>
    <t>Monitoramento e Controle (EVM)</t>
  </si>
  <si>
    <t>Planning Poker (estimativa de esforço por pacote da EAP)</t>
  </si>
  <si>
    <t>Valor por Membro (PV, EV, AC, SPI, CPI)</t>
  </si>
  <si>
    <t>Rodada analisada:</t>
  </si>
  <si>
    <t>Membro</t>
  </si>
  <si>
    <t>PV</t>
  </si>
  <si>
    <t>EV</t>
  </si>
  <si>
    <t>AC</t>
  </si>
  <si>
    <t>SPI</t>
  </si>
  <si>
    <t>CPI</t>
  </si>
  <si>
    <t>ID</t>
  </si>
  <si>
    <t>João Vicente</t>
  </si>
  <si>
    <t>Pacote</t>
  </si>
  <si>
    <t>Rodada</t>
  </si>
  <si>
    <t>Responsável</t>
  </si>
  <si>
    <t>Pacote de trabalho</t>
  </si>
  <si>
    <t>% Concluído</t>
  </si>
  <si>
    <t>Lucas</t>
  </si>
  <si>
    <t>Daniel</t>
  </si>
  <si>
    <t>Karine</t>
  </si>
  <si>
    <t>Bruno</t>
  </si>
  <si>
    <t>Ana Laura</t>
  </si>
  <si>
    <t>Consenso</t>
  </si>
  <si>
    <t>1.1</t>
  </si>
  <si>
    <t>Documento de Visão e Plano de Projeto</t>
  </si>
  <si>
    <t>1.2</t>
  </si>
  <si>
    <t>Mapeamento e Análise de Riscos</t>
  </si>
  <si>
    <t>1.3</t>
  </si>
  <si>
    <t>Planning Poker</t>
  </si>
  <si>
    <t>1.4</t>
  </si>
  <si>
    <t>Orçamento e Cronograma (Gantt)</t>
  </si>
  <si>
    <t>1.5</t>
  </si>
  <si>
    <t>Monitoramento e Controle (Burndown e EVM)</t>
  </si>
  <si>
    <t>2.1</t>
  </si>
  <si>
    <t>Levantamento de Requisitos (RF/RNF)</t>
  </si>
  <si>
    <t>2.2</t>
  </si>
  <si>
    <t>Protótipo de Alta Fidelidade no Figma (v1)</t>
  </si>
  <si>
    <t>2.3</t>
  </si>
  <si>
    <t>Validação dos Fluxos (Busca, Log, Perfil)</t>
  </si>
  <si>
    <t>3.1</t>
  </si>
  <si>
    <t>Repositório GitHub sob Licença MIT</t>
  </si>
  <si>
    <t>3.2</t>
  </si>
  <si>
    <t>Estratégia de Branches</t>
  </si>
  <si>
    <t>3.3</t>
  </si>
  <si>
    <t>Ambiente de Desenvolvimento e Ferramentas</t>
  </si>
  <si>
    <t>3.4</t>
  </si>
  <si>
    <t>Modelagem do Banco de Dados</t>
  </si>
  <si>
    <t>3.5</t>
  </si>
  <si>
    <t>Configuração de Deploy e Hospedagem</t>
  </si>
  <si>
    <t>4.1</t>
  </si>
  <si>
    <t>Integração com API Externa + cache</t>
  </si>
  <si>
    <t>4.2</t>
  </si>
  <si>
    <t>Mecanismo de Busca (álbuns, faixas, artistas)</t>
  </si>
  <si>
    <t>4.3</t>
  </si>
  <si>
    <t>Tela de Detalhes da Obra</t>
  </si>
  <si>
    <t>5.1</t>
  </si>
  <si>
    <t>Cadastro e Autenticação (login/logout)</t>
  </si>
  <si>
    <t>5.2</t>
  </si>
  <si>
    <t>Perfil de Usuário (ver, editar, favoritos)</t>
  </si>
  <si>
    <t>TOTAL</t>
  </si>
  <si>
    <t>5.3</t>
  </si>
  <si>
    <t>Registro de Escuta (Log) com data</t>
  </si>
  <si>
    <t>5.4</t>
  </si>
  <si>
    <t>Atribuição de Notas e Resenhas</t>
  </si>
  <si>
    <t>6.1</t>
  </si>
  <si>
    <t>Criar, Editar e Exibir Listas Temáticas</t>
  </si>
  <si>
    <t>6.2</t>
  </si>
  <si>
    <t>Feed Social e Mecanismo de Seguir</t>
  </si>
  <si>
    <t>Burndown da Iteração</t>
  </si>
  <si>
    <t>6.3</t>
  </si>
  <si>
    <t>Interação (Curtir e Comentar)</t>
  </si>
  <si>
    <t>Rodada 1</t>
  </si>
  <si>
    <t>7.1</t>
  </si>
  <si>
    <t>Testes de Integração da API</t>
  </si>
  <si>
    <t>Esforço total:</t>
  </si>
  <si>
    <t>7.2</t>
  </si>
  <si>
    <t>Testes Funcionais das Regras</t>
  </si>
  <si>
    <t>Duração (dias):</t>
  </si>
  <si>
    <t>7.3</t>
  </si>
  <si>
    <t>Dia</t>
  </si>
  <si>
    <t>Ajustes de Usabilidade</t>
  </si>
  <si>
    <t>Esforço restante
IDEAL</t>
  </si>
  <si>
    <t>Esforço restante
REAL</t>
  </si>
  <si>
    <t>7.4</t>
  </si>
  <si>
    <t>Preparação de Artefatos e Apresentações</t>
  </si>
  <si>
    <t>7.5</t>
  </si>
  <si>
    <t>Consolidação Final e Entrega</t>
  </si>
  <si>
    <t>TOTAL (todas as rodadas)</t>
  </si>
  <si>
    <t>RESUMO EVM</t>
  </si>
  <si>
    <t>Indicador</t>
  </si>
  <si>
    <t>Rodada selecionada</t>
  </si>
  <si>
    <t>Projeto (geral)</t>
  </si>
  <si>
    <t>PV (Valor Planejado)</t>
  </si>
  <si>
    <t>EV (Valor Agregado)</t>
  </si>
  <si>
    <t>AC (Custo Real)</t>
  </si>
  <si>
    <t>SPI = EV/PV</t>
  </si>
  <si>
    <t>CPI = EV/AC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</si>
</sst>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9.0"/>
      <color rgb="FF595959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color rgb="FF000000"/>
      <name val="Calibri"/>
      <scheme val="minor"/>
    </font>
    <font>
      <b/>
      <sz val="10.0"/>
      <color rgb="FF000000"/>
      <name val="Arial"/>
    </font>
    <font>
      <b/>
      <sz val="12.0"/>
      <color theme="1"/>
      <name val="Arial"/>
    </font>
    <font>
      <sz val="10.0"/>
      <color rgb="FF1F7A1F"/>
      <name val="Arial"/>
    </font>
    <font>
      <sz val="11.0"/>
      <color theme="1"/>
      <name val="Calibri"/>
    </font>
    <font>
      <b/>
      <sz val="12.0"/>
      <color rgb="FF1F3864"/>
      <name val="Arial"/>
    </font>
    <font>
      <color theme="1"/>
      <name val="Calibri"/>
      <scheme val="minor"/>
    </font>
    <font>
      <i/>
      <sz val="9.0"/>
      <color rgb="FF595959"/>
      <name val="Arial"/>
    </font>
    <font>
      <i/>
      <sz val="9.0"/>
      <color rgb="FFC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E4C8A"/>
        <bgColor rgb="FF2E4C8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bottom" wrapText="0"/>
    </xf>
    <xf borderId="1" fillId="3" fontId="6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3" fontId="5" numFmtId="9" xfId="0" applyAlignment="1" applyBorder="1" applyFill="1" applyFont="1" applyNumberForma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7" numFmtId="2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8" numFmtId="0" xfId="0" applyFont="1"/>
    <xf borderId="1" fillId="3" fontId="5" numFmtId="0" xfId="0" applyAlignment="1" applyBorder="1" applyFill="1" applyFont="1">
      <alignment shrinkToFit="0" vertical="bottom" wrapText="0"/>
    </xf>
    <xf borderId="1" fillId="3" fontId="7" numFmtId="2" xfId="0" applyAlignment="1" applyBorder="1" applyFill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2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readingOrder="0" shrinkToFit="0" vertical="bottom" wrapText="0"/>
    </xf>
    <xf borderId="0" fillId="0" fontId="11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5" numFmtId="164" xfId="0" applyAlignment="1" applyBorder="1" applyFont="1" applyNumberFormat="1">
      <alignment horizontal="center" shrinkToFit="0" vertical="bottom" wrapText="0"/>
    </xf>
    <xf borderId="1" fillId="0" fontId="12" numFmtId="0" xfId="0" applyAlignment="1" applyBorder="1" applyFont="1">
      <alignment horizontal="center" shrinkToFit="0" vertical="center" wrapText="1"/>
    </xf>
    <xf borderId="1" fillId="4" fontId="12" numFmtId="164" xfId="0" applyAlignment="1" applyBorder="1" applyFill="1" applyFont="1" applyNumberFormat="1">
      <alignment horizontal="center" shrinkToFit="0" vertical="center" wrapText="1"/>
    </xf>
    <xf borderId="1" fillId="3" fontId="12" numFmtId="164" xfId="0" applyAlignment="1" applyBorder="1" applyFill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3" fontId="12" numFmtId="164" xfId="0" applyAlignment="1" applyBorder="1" applyFill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0" fillId="0" fontId="14" numFmtId="0" xfId="0" applyFont="1"/>
    <xf borderId="1" fillId="0" fontId="2" numFmtId="2" xfId="0" applyAlignment="1" applyBorder="1" applyFont="1" applyNumberFormat="1">
      <alignment shrinkToFit="0" vertical="bottom" wrapText="0"/>
    </xf>
    <xf borderId="1" fillId="0" fontId="2" numFmtId="2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2">
    <tableStyle count="3" pivot="0" name="Planning Poker-style">
      <tableStyleElement dxfId="1" type="headerRow"/>
      <tableStyleElement dxfId="3" type="firstRowStripe"/>
      <tableStyleElement dxfId="4" type="secondRowStripe"/>
    </tableStyle>
    <tableStyle count="3" pivot="0" name="Monitoramento (EVM)-style">
      <tableStyleElement dxfId="2" type="headerRow"/>
      <tableStyleElement dxfId="3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da Iteração</a:t>
            </a:r>
          </a:p>
        </c:rich>
      </c:tx>
      <c:overlay val="0"/>
    </c:title>
    <c:plotArea>
      <c:layout/>
      <c:lineChart>
        <c:ser>
          <c:idx val="0"/>
          <c:order val="0"/>
          <c:tx>
            <c:v>Esforço restante IDEAL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Burndown!$A$8:$A$12</c:f>
            </c:strRef>
          </c:cat>
          <c:val>
            <c:numRef>
              <c:f>Burndown!$B$8:$B$12</c:f>
              <c:numCache/>
            </c:numRef>
          </c:val>
          <c:smooth val="1"/>
        </c:ser>
        <c:ser>
          <c:idx val="1"/>
          <c:order val="1"/>
          <c:tx>
            <c:v>Esforço restante REAL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Burndown!$A$8:$A$12</c:f>
            </c:strRef>
          </c:cat>
          <c:val>
            <c:numRef>
              <c:f>Burndown!$C$8:$C$12</c:f>
              <c:numCache/>
            </c:numRef>
          </c:val>
          <c:smooth val="1"/>
        </c:ser>
        <c:axId val="437800124"/>
        <c:axId val="871100149"/>
      </c:lineChart>
      <c:catAx>
        <c:axId val="437800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71100149"/>
      </c:catAx>
      <c:valAx>
        <c:axId val="871100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Esforço restante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780012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32</xdr:row>
      <xdr:rowOff>171450</xdr:rowOff>
    </xdr:from>
    <xdr:ext cx="2647950" cy="2314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723900</xdr:colOff>
      <xdr:row>6</xdr:row>
      <xdr:rowOff>28575</xdr:rowOff>
    </xdr:from>
    <xdr:ext cx="7877175" cy="2952750"/>
    <xdr:graphicFrame>
      <xdr:nvGraphicFramePr>
        <xdr:cNvPr id="205746668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3:J31" displayName="Table_1" name="Table_1" id="1">
  <tableColumns count="10">
    <tableColumn name="ID" id="1"/>
    <tableColumn name="Pacote de trabalho" id="2"/>
    <tableColumn name="Rodada" id="3"/>
    <tableColumn name="João Vicente" id="4"/>
    <tableColumn name="Lucas" id="5"/>
    <tableColumn name="Daniel" id="6"/>
    <tableColumn name="Karine" id="7"/>
    <tableColumn name="Bruno" id="8"/>
    <tableColumn name="Ana Laura" id="9"/>
    <tableColumn name="Consenso" id="10"/>
  </tableColumns>
  <tableStyleInfo name="Planning Poker-style" showColumnStripes="0" showFirstColumn="1" showLastColumn="1" showRowStripes="1"/>
</table>
</file>

<file path=xl/tables/table2.xml><?xml version="1.0" encoding="utf-8"?>
<table xmlns="http://schemas.openxmlformats.org/spreadsheetml/2006/main" headerRowCount="0" ref="H39" displayName="Table_2" name="Table_2" id="2">
  <tableColumns count="1">
    <tableColumn name="Column1" id="1"/>
  </tableColumns>
  <tableStyleInfo name="Monitoramento (EVM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40.0"/>
    <col customWidth="1" min="3" max="3" width="8.0"/>
    <col customWidth="1" min="4" max="4" width="23.57"/>
    <col customWidth="1" min="5" max="10" width="12.0"/>
  </cols>
  <sheetData>
    <row r="1">
      <c r="A1" s="1" t="s">
        <v>1</v>
      </c>
    </row>
    <row r="2">
      <c r="A2" s="6"/>
    </row>
    <row r="3">
      <c r="A3" s="8" t="s">
        <v>10</v>
      </c>
      <c r="B3" s="8" t="s">
        <v>15</v>
      </c>
      <c r="C3" s="8" t="s">
        <v>13</v>
      </c>
      <c r="D3" s="8" t="s">
        <v>11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</row>
    <row r="4">
      <c r="A4" s="10" t="s">
        <v>23</v>
      </c>
      <c r="B4" s="11" t="s">
        <v>24</v>
      </c>
      <c r="C4" s="10">
        <v>1.0</v>
      </c>
      <c r="D4" s="12">
        <v>2.0</v>
      </c>
      <c r="E4" s="12">
        <v>8.0</v>
      </c>
      <c r="F4" s="12">
        <v>3.0</v>
      </c>
      <c r="G4" s="12">
        <v>3.0</v>
      </c>
      <c r="H4" s="12">
        <v>3.0</v>
      </c>
      <c r="I4" s="12">
        <v>2.0</v>
      </c>
      <c r="J4" s="12">
        <v>5.0</v>
      </c>
    </row>
    <row r="5">
      <c r="A5" s="10" t="s">
        <v>25</v>
      </c>
      <c r="B5" s="11" t="s">
        <v>26</v>
      </c>
      <c r="C5" s="10">
        <v>1.0</v>
      </c>
      <c r="D5" s="12">
        <v>5.0</v>
      </c>
      <c r="E5" s="12">
        <v>5.0</v>
      </c>
      <c r="F5" s="12">
        <v>2.0</v>
      </c>
      <c r="G5" s="12">
        <v>8.0</v>
      </c>
      <c r="H5" s="12">
        <v>5.0</v>
      </c>
      <c r="I5" s="12">
        <v>5.0</v>
      </c>
      <c r="J5" s="12">
        <v>5.0</v>
      </c>
    </row>
    <row r="6">
      <c r="A6" s="10" t="s">
        <v>27</v>
      </c>
      <c r="B6" s="11" t="s">
        <v>28</v>
      </c>
      <c r="C6" s="10">
        <v>1.0</v>
      </c>
      <c r="D6" s="12">
        <v>1.0</v>
      </c>
      <c r="E6" s="12">
        <v>2.0</v>
      </c>
      <c r="F6" s="12">
        <v>1.0</v>
      </c>
      <c r="G6" s="12">
        <v>5.0</v>
      </c>
      <c r="H6" s="12">
        <v>2.0</v>
      </c>
      <c r="I6" s="12">
        <v>3.0</v>
      </c>
      <c r="J6" s="12">
        <v>1.0</v>
      </c>
    </row>
    <row r="7">
      <c r="A7" s="10" t="s">
        <v>29</v>
      </c>
      <c r="B7" s="11" t="s">
        <v>30</v>
      </c>
      <c r="C7" s="10">
        <v>1.0</v>
      </c>
      <c r="D7" s="12">
        <v>3.0</v>
      </c>
      <c r="E7" s="12">
        <v>3.0</v>
      </c>
      <c r="F7" s="12">
        <v>8.0</v>
      </c>
      <c r="G7" s="12">
        <v>8.0</v>
      </c>
      <c r="H7" s="12">
        <v>5.0</v>
      </c>
      <c r="I7" s="12">
        <v>3.0</v>
      </c>
      <c r="J7" s="12">
        <v>5.0</v>
      </c>
    </row>
    <row r="8">
      <c r="A8" s="10" t="s">
        <v>31</v>
      </c>
      <c r="B8" s="11" t="s">
        <v>32</v>
      </c>
      <c r="C8" s="10">
        <v>1.0</v>
      </c>
      <c r="D8" s="12">
        <v>5.0</v>
      </c>
      <c r="E8" s="12">
        <v>5.0</v>
      </c>
      <c r="F8" s="12">
        <v>3.0</v>
      </c>
      <c r="G8" s="12">
        <v>3.0</v>
      </c>
      <c r="H8" s="12">
        <v>8.0</v>
      </c>
      <c r="I8" s="12">
        <v>3.0</v>
      </c>
      <c r="J8" s="12">
        <v>3.0</v>
      </c>
    </row>
    <row r="9">
      <c r="A9" s="10" t="s">
        <v>33</v>
      </c>
      <c r="B9" s="11" t="s">
        <v>34</v>
      </c>
      <c r="C9" s="10">
        <v>1.0</v>
      </c>
      <c r="D9" s="12">
        <v>5.0</v>
      </c>
      <c r="E9" s="12">
        <v>5.0</v>
      </c>
      <c r="F9" s="12">
        <v>8.0</v>
      </c>
      <c r="G9" s="12">
        <v>5.0</v>
      </c>
      <c r="H9" s="12">
        <v>5.0</v>
      </c>
      <c r="I9" s="12">
        <v>8.0</v>
      </c>
      <c r="J9" s="12">
        <v>5.0</v>
      </c>
    </row>
    <row r="10">
      <c r="A10" s="10" t="s">
        <v>35</v>
      </c>
      <c r="B10" s="11" t="s">
        <v>36</v>
      </c>
      <c r="C10" s="10">
        <v>1.0</v>
      </c>
      <c r="D10" s="12">
        <v>8.0</v>
      </c>
      <c r="E10" s="12">
        <v>13.0</v>
      </c>
      <c r="F10" s="12">
        <v>8.0</v>
      </c>
      <c r="G10" s="12">
        <v>1.0</v>
      </c>
      <c r="H10" s="12">
        <v>13.0</v>
      </c>
      <c r="I10" s="12">
        <v>8.0</v>
      </c>
      <c r="J10" s="12">
        <v>8.0</v>
      </c>
    </row>
    <row r="11">
      <c r="A11" s="10" t="s">
        <v>37</v>
      </c>
      <c r="B11" s="11" t="s">
        <v>38</v>
      </c>
      <c r="C11" s="10">
        <v>1.0</v>
      </c>
      <c r="D11" s="12">
        <v>3.0</v>
      </c>
      <c r="E11" s="12">
        <v>8.0</v>
      </c>
      <c r="F11" s="12">
        <v>2.0</v>
      </c>
      <c r="G11" s="12">
        <v>5.0</v>
      </c>
      <c r="H11" s="12">
        <v>3.0</v>
      </c>
      <c r="I11" s="12">
        <v>5.0</v>
      </c>
      <c r="J11" s="12">
        <v>3.0</v>
      </c>
    </row>
    <row r="12">
      <c r="A12" s="10" t="s">
        <v>39</v>
      </c>
      <c r="B12" s="11" t="s">
        <v>40</v>
      </c>
      <c r="C12" s="10">
        <v>1.0</v>
      </c>
      <c r="D12" s="12">
        <v>2.0</v>
      </c>
      <c r="E12" s="12">
        <v>2.0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</row>
    <row r="13">
      <c r="A13" s="10" t="s">
        <v>41</v>
      </c>
      <c r="B13" s="11" t="s">
        <v>42</v>
      </c>
      <c r="C13" s="10">
        <v>1.0</v>
      </c>
      <c r="D13" s="12">
        <v>1.0</v>
      </c>
      <c r="E13" s="12">
        <v>5.0</v>
      </c>
      <c r="F13" s="12">
        <v>1.0</v>
      </c>
      <c r="G13" s="12">
        <v>1.0</v>
      </c>
      <c r="H13" s="12">
        <v>1.0</v>
      </c>
      <c r="I13" s="12">
        <v>1.0</v>
      </c>
      <c r="J13" s="12">
        <v>1.0</v>
      </c>
    </row>
    <row r="14">
      <c r="A14" s="10" t="s">
        <v>43</v>
      </c>
      <c r="B14" s="11" t="s">
        <v>44</v>
      </c>
      <c r="C14" s="10">
        <v>2.0</v>
      </c>
      <c r="D14" s="12">
        <v>1.0</v>
      </c>
      <c r="E14" s="12">
        <v>2.0</v>
      </c>
      <c r="F14" s="12">
        <v>1.0</v>
      </c>
      <c r="G14" s="12">
        <v>1.0</v>
      </c>
      <c r="H14" s="12">
        <v>2.0</v>
      </c>
      <c r="I14" s="12">
        <v>1.0</v>
      </c>
      <c r="J14" s="12">
        <v>1.0</v>
      </c>
    </row>
    <row r="15">
      <c r="A15" s="10" t="s">
        <v>45</v>
      </c>
      <c r="B15" s="11" t="s">
        <v>46</v>
      </c>
      <c r="C15" s="10">
        <v>2.0</v>
      </c>
      <c r="D15" s="12">
        <v>3.0</v>
      </c>
      <c r="E15" s="12">
        <v>3.0</v>
      </c>
      <c r="F15" s="12">
        <v>8.0</v>
      </c>
      <c r="G15" s="12">
        <v>3.0</v>
      </c>
      <c r="H15" s="12">
        <v>3.0</v>
      </c>
      <c r="I15" s="12">
        <v>5.0</v>
      </c>
      <c r="J15" s="12">
        <v>5.0</v>
      </c>
    </row>
    <row r="16">
      <c r="A16" s="10" t="s">
        <v>47</v>
      </c>
      <c r="B16" s="11" t="s">
        <v>48</v>
      </c>
      <c r="C16" s="10">
        <v>2.0</v>
      </c>
      <c r="D16" s="12">
        <v>2.0</v>
      </c>
      <c r="E16" s="12">
        <v>5.0</v>
      </c>
      <c r="F16" s="12">
        <v>3.0</v>
      </c>
      <c r="G16" s="12">
        <v>5.0</v>
      </c>
      <c r="H16" s="12">
        <v>3.0</v>
      </c>
      <c r="I16" s="12">
        <v>3.0</v>
      </c>
      <c r="J16" s="12">
        <v>3.0</v>
      </c>
    </row>
    <row r="17">
      <c r="A17" s="10" t="s">
        <v>49</v>
      </c>
      <c r="B17" s="11" t="s">
        <v>50</v>
      </c>
      <c r="C17" s="10">
        <v>2.0</v>
      </c>
      <c r="D17" s="12">
        <v>5.0</v>
      </c>
      <c r="E17" s="12">
        <v>5.0</v>
      </c>
      <c r="F17" s="12">
        <v>8.0</v>
      </c>
      <c r="G17" s="12">
        <v>3.0</v>
      </c>
      <c r="H17" s="12">
        <v>3.0</v>
      </c>
      <c r="I17" s="12">
        <v>5.0</v>
      </c>
      <c r="J17" s="12">
        <v>5.0</v>
      </c>
    </row>
    <row r="18">
      <c r="A18" s="10" t="s">
        <v>51</v>
      </c>
      <c r="B18" s="11" t="s">
        <v>52</v>
      </c>
      <c r="C18" s="10">
        <v>2.0</v>
      </c>
      <c r="D18" s="12">
        <v>3.0</v>
      </c>
      <c r="E18" s="12">
        <v>5.0</v>
      </c>
      <c r="F18" s="12">
        <v>8.0</v>
      </c>
      <c r="G18" s="12">
        <v>5.0</v>
      </c>
      <c r="H18" s="12">
        <v>5.0</v>
      </c>
      <c r="I18" s="12">
        <v>3.0</v>
      </c>
      <c r="J18" s="12">
        <v>5.0</v>
      </c>
    </row>
    <row r="19">
      <c r="A19" s="10" t="s">
        <v>53</v>
      </c>
      <c r="B19" s="11" t="s">
        <v>54</v>
      </c>
      <c r="C19" s="10">
        <v>2.0</v>
      </c>
      <c r="D19" s="12">
        <v>5.0</v>
      </c>
      <c r="E19" s="12">
        <v>8.0</v>
      </c>
      <c r="F19" s="12">
        <v>5.0</v>
      </c>
      <c r="G19" s="12">
        <v>5.0</v>
      </c>
      <c r="H19" s="12">
        <v>5.0</v>
      </c>
      <c r="I19" s="12">
        <v>5.0</v>
      </c>
      <c r="J19" s="12">
        <v>5.0</v>
      </c>
    </row>
    <row r="20">
      <c r="A20" s="10" t="s">
        <v>55</v>
      </c>
      <c r="B20" s="11" t="s">
        <v>56</v>
      </c>
      <c r="C20" s="10">
        <v>2.0</v>
      </c>
      <c r="D20" s="12">
        <v>8.0</v>
      </c>
      <c r="E20" s="12">
        <v>13.0</v>
      </c>
      <c r="F20" s="12">
        <v>5.0</v>
      </c>
      <c r="G20" s="12">
        <v>8.0</v>
      </c>
      <c r="H20" s="12">
        <v>8.0</v>
      </c>
      <c r="I20" s="12">
        <v>8.0</v>
      </c>
      <c r="J20" s="12">
        <v>8.0</v>
      </c>
    </row>
    <row r="21" ht="15.75" customHeight="1">
      <c r="A21" s="10" t="s">
        <v>57</v>
      </c>
      <c r="B21" s="11" t="s">
        <v>58</v>
      </c>
      <c r="C21" s="10">
        <v>2.0</v>
      </c>
      <c r="D21" s="12">
        <v>8.0</v>
      </c>
      <c r="E21" s="12">
        <v>13.0</v>
      </c>
      <c r="F21" s="12">
        <v>8.0</v>
      </c>
      <c r="G21" s="12">
        <v>5.0</v>
      </c>
      <c r="H21" s="12">
        <v>8.0</v>
      </c>
      <c r="I21" s="12">
        <v>8.0</v>
      </c>
      <c r="J21" s="12">
        <v>8.0</v>
      </c>
    </row>
    <row r="22" ht="15.75" customHeight="1">
      <c r="A22" s="10" t="s">
        <v>60</v>
      </c>
      <c r="B22" s="11" t="s">
        <v>61</v>
      </c>
      <c r="C22" s="10">
        <v>2.0</v>
      </c>
      <c r="D22" s="12">
        <v>3.0</v>
      </c>
      <c r="E22" s="12">
        <v>8.0</v>
      </c>
      <c r="F22" s="12">
        <v>8.0</v>
      </c>
      <c r="G22" s="12">
        <v>3.0</v>
      </c>
      <c r="H22" s="12">
        <v>8.0</v>
      </c>
      <c r="I22" s="12">
        <v>5.0</v>
      </c>
      <c r="J22" s="12">
        <v>5.0</v>
      </c>
    </row>
    <row r="23" ht="15.75" customHeight="1">
      <c r="A23" s="10" t="s">
        <v>62</v>
      </c>
      <c r="B23" s="11" t="s">
        <v>63</v>
      </c>
      <c r="C23" s="10">
        <v>2.0</v>
      </c>
      <c r="D23" s="12">
        <v>5.0</v>
      </c>
      <c r="E23" s="12">
        <v>5.0</v>
      </c>
      <c r="F23" s="12">
        <v>5.0</v>
      </c>
      <c r="G23" s="12">
        <v>8.0</v>
      </c>
      <c r="H23" s="12">
        <v>8.0</v>
      </c>
      <c r="I23" s="12">
        <v>5.0</v>
      </c>
      <c r="J23" s="12">
        <v>5.0</v>
      </c>
    </row>
    <row r="24" ht="15.75" customHeight="1">
      <c r="A24" s="10" t="s">
        <v>64</v>
      </c>
      <c r="B24" s="11" t="s">
        <v>65</v>
      </c>
      <c r="C24" s="10">
        <v>3.0</v>
      </c>
      <c r="D24" s="12">
        <v>5.0</v>
      </c>
      <c r="E24" s="12">
        <v>5.0</v>
      </c>
      <c r="F24" s="12">
        <v>8.0</v>
      </c>
      <c r="G24" s="12">
        <v>5.0</v>
      </c>
      <c r="H24" s="12">
        <v>8.0</v>
      </c>
      <c r="I24" s="12">
        <v>5.0</v>
      </c>
      <c r="J24" s="12">
        <v>5.0</v>
      </c>
    </row>
    <row r="25" ht="15.75" customHeight="1">
      <c r="A25" s="10" t="s">
        <v>66</v>
      </c>
      <c r="B25" s="11" t="s">
        <v>67</v>
      </c>
      <c r="C25" s="10">
        <v>3.0</v>
      </c>
      <c r="D25" s="12">
        <v>8.0</v>
      </c>
      <c r="E25" s="12">
        <v>5.0</v>
      </c>
      <c r="F25" s="12">
        <v>13.0</v>
      </c>
      <c r="G25" s="12">
        <v>13.0</v>
      </c>
      <c r="H25" s="12">
        <v>13.0</v>
      </c>
      <c r="I25" s="12">
        <v>8.0</v>
      </c>
      <c r="J25" s="12">
        <v>13.0</v>
      </c>
    </row>
    <row r="26" ht="15.75" customHeight="1">
      <c r="A26" s="10" t="s">
        <v>69</v>
      </c>
      <c r="B26" s="11" t="s">
        <v>70</v>
      </c>
      <c r="C26" s="10">
        <v>3.0</v>
      </c>
      <c r="D26" s="12">
        <v>5.0</v>
      </c>
      <c r="E26" s="12">
        <v>8.0</v>
      </c>
      <c r="F26" s="12">
        <v>8.0</v>
      </c>
      <c r="G26" s="12">
        <v>5.0</v>
      </c>
      <c r="H26" s="12">
        <v>8.0</v>
      </c>
      <c r="I26" s="12">
        <v>5.0</v>
      </c>
      <c r="J26" s="12">
        <v>8.0</v>
      </c>
    </row>
    <row r="27" ht="15.75" customHeight="1">
      <c r="A27" s="10" t="s">
        <v>72</v>
      </c>
      <c r="B27" s="11" t="s">
        <v>73</v>
      </c>
      <c r="C27" s="10">
        <v>3.0</v>
      </c>
      <c r="D27" s="12">
        <v>3.0</v>
      </c>
      <c r="E27" s="12">
        <v>2.0</v>
      </c>
      <c r="F27" s="12">
        <v>5.0</v>
      </c>
      <c r="G27" s="12">
        <v>5.0</v>
      </c>
      <c r="H27" s="12">
        <v>2.0</v>
      </c>
      <c r="I27" s="12">
        <v>5.0</v>
      </c>
      <c r="J27" s="12">
        <v>5.0</v>
      </c>
    </row>
    <row r="28" ht="15.75" customHeight="1">
      <c r="A28" s="10" t="s">
        <v>75</v>
      </c>
      <c r="B28" s="11" t="s">
        <v>76</v>
      </c>
      <c r="C28" s="10">
        <v>3.0</v>
      </c>
      <c r="D28" s="12">
        <v>5.0</v>
      </c>
      <c r="E28" s="12">
        <v>5.0</v>
      </c>
      <c r="F28" s="12">
        <v>3.0</v>
      </c>
      <c r="G28" s="12">
        <v>3.0</v>
      </c>
      <c r="H28" s="12">
        <v>8.0</v>
      </c>
      <c r="I28" s="12">
        <v>8.0</v>
      </c>
      <c r="J28" s="12">
        <v>5.0</v>
      </c>
    </row>
    <row r="29" ht="15.75" customHeight="1">
      <c r="A29" s="10" t="s">
        <v>78</v>
      </c>
      <c r="B29" s="11" t="s">
        <v>80</v>
      </c>
      <c r="C29" s="10">
        <v>3.0</v>
      </c>
      <c r="D29" s="12">
        <v>5.0</v>
      </c>
      <c r="E29" s="12">
        <v>5.0</v>
      </c>
      <c r="F29" s="12">
        <v>5.0</v>
      </c>
      <c r="G29" s="12">
        <v>3.0</v>
      </c>
      <c r="H29" s="12">
        <v>8.0</v>
      </c>
      <c r="I29" s="12">
        <v>5.0</v>
      </c>
      <c r="J29" s="12">
        <v>5.0</v>
      </c>
    </row>
    <row r="30" ht="15.75" customHeight="1">
      <c r="A30" s="10" t="s">
        <v>83</v>
      </c>
      <c r="B30" s="11" t="s">
        <v>84</v>
      </c>
      <c r="C30" s="10">
        <v>1.0</v>
      </c>
      <c r="D30" s="12">
        <v>3.0</v>
      </c>
      <c r="E30" s="12">
        <v>5.0</v>
      </c>
      <c r="F30" s="12">
        <v>3.0</v>
      </c>
      <c r="G30" s="12">
        <v>2.0</v>
      </c>
      <c r="H30" s="12">
        <v>5.0</v>
      </c>
      <c r="I30" s="12">
        <v>3.0</v>
      </c>
      <c r="J30" s="12">
        <v>3.0</v>
      </c>
    </row>
    <row r="31" ht="15.75" customHeight="1">
      <c r="A31" s="10" t="s">
        <v>85</v>
      </c>
      <c r="B31" s="11" t="s">
        <v>86</v>
      </c>
      <c r="C31" s="10">
        <v>3.0</v>
      </c>
      <c r="D31" s="12">
        <v>1.0</v>
      </c>
      <c r="E31" s="12">
        <v>1.0</v>
      </c>
      <c r="F31" s="12">
        <v>1.0</v>
      </c>
      <c r="G31" s="12">
        <v>1.0</v>
      </c>
      <c r="H31" s="12">
        <v>1.0</v>
      </c>
      <c r="I31" s="12">
        <v>1.0</v>
      </c>
      <c r="J31" s="12">
        <v>1.0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2.0"/>
    <col customWidth="1" min="2" max="2" width="40.14"/>
    <col customWidth="1" min="3" max="8" width="14.0"/>
  </cols>
  <sheetData>
    <row r="1">
      <c r="A1" s="1" t="s">
        <v>0</v>
      </c>
    </row>
    <row r="2">
      <c r="A2" s="2"/>
    </row>
    <row r="3">
      <c r="A3" s="3" t="s">
        <v>3</v>
      </c>
      <c r="B3" s="5">
        <v>1.0</v>
      </c>
    </row>
    <row r="5">
      <c r="A5" s="4" t="s">
        <v>10</v>
      </c>
      <c r="B5" s="4" t="s">
        <v>12</v>
      </c>
      <c r="C5" s="4" t="s">
        <v>13</v>
      </c>
      <c r="D5" s="4" t="s">
        <v>14</v>
      </c>
      <c r="E5" s="9" t="s">
        <v>5</v>
      </c>
      <c r="F5" s="4" t="s">
        <v>16</v>
      </c>
      <c r="G5" s="9" t="s">
        <v>7</v>
      </c>
      <c r="H5" s="4" t="s">
        <v>6</v>
      </c>
    </row>
    <row r="6">
      <c r="A6" s="13" t="str">
        <f>'Planning Poker'!A4</f>
        <v>1.1</v>
      </c>
      <c r="B6" s="7" t="str">
        <f>'Planning Poker'!B4</f>
        <v>Documento de Visão e Plano de Projeto</v>
      </c>
      <c r="C6" s="13">
        <f>'Planning Poker'!C4</f>
        <v>1</v>
      </c>
      <c r="D6" s="13" t="s">
        <v>18</v>
      </c>
      <c r="E6" s="13">
        <f>IF('Planning Poker'!J4="","",'Planning Poker'!J4)</f>
        <v>5</v>
      </c>
      <c r="F6" s="14">
        <v>1.0</v>
      </c>
      <c r="G6" s="15">
        <v>5.0</v>
      </c>
      <c r="H6" s="17">
        <f t="shared" ref="H6:H33" si="1">IF(E6="","",E6*F6)</f>
        <v>5</v>
      </c>
      <c r="I6" s="18"/>
    </row>
    <row r="7">
      <c r="A7" s="13" t="str">
        <f>'Planning Poker'!A5</f>
        <v>1.2</v>
      </c>
      <c r="B7" s="7" t="str">
        <f>'Planning Poker'!B5</f>
        <v>Mapeamento e Análise de Riscos</v>
      </c>
      <c r="C7" s="13">
        <f>'Planning Poker'!C5</f>
        <v>1</v>
      </c>
      <c r="D7" s="13" t="s">
        <v>11</v>
      </c>
      <c r="E7" s="13">
        <f>IF('Planning Poker'!J5="","",'Planning Poker'!J5)</f>
        <v>5</v>
      </c>
      <c r="F7" s="14">
        <v>1.0</v>
      </c>
      <c r="G7" s="15">
        <v>5.0</v>
      </c>
      <c r="H7" s="17">
        <f t="shared" si="1"/>
        <v>5</v>
      </c>
      <c r="I7" s="18"/>
    </row>
    <row r="8">
      <c r="A8" s="13" t="str">
        <f>'Planning Poker'!A6</f>
        <v>1.3</v>
      </c>
      <c r="B8" s="7" t="str">
        <f>'Planning Poker'!B6</f>
        <v>Planning Poker</v>
      </c>
      <c r="C8" s="13">
        <f>'Planning Poker'!C6</f>
        <v>1</v>
      </c>
      <c r="D8" s="13" t="s">
        <v>11</v>
      </c>
      <c r="E8" s="13">
        <f>IF('Planning Poker'!J6="","",'Planning Poker'!J6)</f>
        <v>1</v>
      </c>
      <c r="F8" s="14">
        <v>1.0</v>
      </c>
      <c r="G8" s="15">
        <v>2.0</v>
      </c>
      <c r="H8" s="17">
        <f t="shared" si="1"/>
        <v>1</v>
      </c>
      <c r="I8" s="18"/>
    </row>
    <row r="9">
      <c r="A9" s="13" t="str">
        <f>'Planning Poker'!A7</f>
        <v>1.4</v>
      </c>
      <c r="B9" s="7" t="str">
        <f>'Planning Poker'!B7</f>
        <v>Orçamento e Cronograma (Gantt)</v>
      </c>
      <c r="C9" s="13">
        <f>'Planning Poker'!C7</f>
        <v>1</v>
      </c>
      <c r="D9" s="13" t="s">
        <v>18</v>
      </c>
      <c r="E9" s="13">
        <f>IF('Planning Poker'!J7="","",'Planning Poker'!J7)</f>
        <v>5</v>
      </c>
      <c r="F9" s="14">
        <v>1.0</v>
      </c>
      <c r="G9" s="15">
        <v>3.0</v>
      </c>
      <c r="H9" s="17">
        <f t="shared" si="1"/>
        <v>5</v>
      </c>
      <c r="I9" s="18"/>
    </row>
    <row r="10">
      <c r="A10" s="13" t="str">
        <f>'Planning Poker'!A8</f>
        <v>1.5</v>
      </c>
      <c r="B10" s="7" t="str">
        <f>'Planning Poker'!B8</f>
        <v>Monitoramento e Controle (Burndown e EVM)</v>
      </c>
      <c r="C10" s="13">
        <f>'Planning Poker'!C8</f>
        <v>1</v>
      </c>
      <c r="D10" s="13" t="s">
        <v>19</v>
      </c>
      <c r="E10" s="13">
        <f>IF('Planning Poker'!J8="","",'Planning Poker'!J8)</f>
        <v>3</v>
      </c>
      <c r="F10" s="14">
        <v>1.0</v>
      </c>
      <c r="G10" s="15">
        <v>5.0</v>
      </c>
      <c r="H10" s="17">
        <f t="shared" si="1"/>
        <v>3</v>
      </c>
      <c r="I10" s="18"/>
    </row>
    <row r="11">
      <c r="A11" s="13" t="str">
        <f>'Planning Poker'!A9</f>
        <v>2.1</v>
      </c>
      <c r="B11" s="7" t="str">
        <f>'Planning Poker'!B9</f>
        <v>Levantamento de Requisitos (RF/RNF)</v>
      </c>
      <c r="C11" s="13">
        <f>'Planning Poker'!C9</f>
        <v>1</v>
      </c>
      <c r="D11" s="13" t="s">
        <v>17</v>
      </c>
      <c r="E11" s="13">
        <f>IF('Planning Poker'!J9="","",'Planning Poker'!J9)</f>
        <v>5</v>
      </c>
      <c r="F11" s="14">
        <v>1.0</v>
      </c>
      <c r="G11" s="15">
        <v>5.0</v>
      </c>
      <c r="H11" s="17">
        <f t="shared" si="1"/>
        <v>5</v>
      </c>
      <c r="I11" s="18"/>
    </row>
    <row r="12">
      <c r="A12" s="13" t="str">
        <f>'Planning Poker'!A10</f>
        <v>2.2</v>
      </c>
      <c r="B12" s="7" t="str">
        <f>'Planning Poker'!B10</f>
        <v>Protótipo de Alta Fidelidade no Figma (v1)</v>
      </c>
      <c r="C12" s="13">
        <f>'Planning Poker'!C10</f>
        <v>1</v>
      </c>
      <c r="D12" s="13" t="s">
        <v>20</v>
      </c>
      <c r="E12" s="13">
        <f>IF('Planning Poker'!J10="","",'Planning Poker'!J10)</f>
        <v>8</v>
      </c>
      <c r="F12" s="14">
        <v>0.75</v>
      </c>
      <c r="G12" s="15">
        <v>8.0</v>
      </c>
      <c r="H12" s="17">
        <f t="shared" si="1"/>
        <v>6</v>
      </c>
      <c r="I12" s="18"/>
    </row>
    <row r="13">
      <c r="A13" s="13" t="str">
        <f>'Planning Poker'!A11</f>
        <v>2.3</v>
      </c>
      <c r="B13" s="7" t="str">
        <f>'Planning Poker'!B11</f>
        <v>Validação dos Fluxos (Busca, Log, Perfil)</v>
      </c>
      <c r="C13" s="13">
        <f>'Planning Poker'!C11</f>
        <v>1</v>
      </c>
      <c r="D13" s="13" t="s">
        <v>20</v>
      </c>
      <c r="E13" s="13">
        <f>IF('Planning Poker'!J11="","",'Planning Poker'!J11)</f>
        <v>3</v>
      </c>
      <c r="F13" s="14">
        <v>1.0</v>
      </c>
      <c r="G13" s="15">
        <v>3.0</v>
      </c>
      <c r="H13" s="17">
        <f t="shared" si="1"/>
        <v>3</v>
      </c>
      <c r="I13" s="18"/>
    </row>
    <row r="14">
      <c r="A14" s="13" t="str">
        <f>'Planning Poker'!A12</f>
        <v>3.1</v>
      </c>
      <c r="B14" s="7" t="str">
        <f>'Planning Poker'!B12</f>
        <v>Repositório GitHub sob Licença MIT</v>
      </c>
      <c r="C14" s="13">
        <f>'Planning Poker'!C12</f>
        <v>1</v>
      </c>
      <c r="D14" s="13" t="s">
        <v>17</v>
      </c>
      <c r="E14" s="13">
        <f>IF('Planning Poker'!J12="","",'Planning Poker'!J12)</f>
        <v>1</v>
      </c>
      <c r="F14" s="14">
        <v>1.0</v>
      </c>
      <c r="G14" s="15">
        <v>2.0</v>
      </c>
      <c r="H14" s="17">
        <f t="shared" si="1"/>
        <v>1</v>
      </c>
      <c r="I14" s="18"/>
    </row>
    <row r="15">
      <c r="A15" s="13" t="str">
        <f>'Planning Poker'!A13</f>
        <v>3.2</v>
      </c>
      <c r="B15" s="7" t="str">
        <f>'Planning Poker'!B13</f>
        <v>Estratégia de Branches</v>
      </c>
      <c r="C15" s="13">
        <f>'Planning Poker'!C13</f>
        <v>1</v>
      </c>
      <c r="D15" s="13" t="s">
        <v>21</v>
      </c>
      <c r="E15" s="13">
        <f>IF('Planning Poker'!J13="","",'Planning Poker'!J13)</f>
        <v>1</v>
      </c>
      <c r="F15" s="14">
        <v>1.0</v>
      </c>
      <c r="G15" s="15">
        <v>1.0</v>
      </c>
      <c r="H15" s="17">
        <f t="shared" si="1"/>
        <v>1</v>
      </c>
      <c r="I15" s="18"/>
    </row>
    <row r="16">
      <c r="A16" s="13" t="str">
        <f>'Planning Poker'!A14</f>
        <v>3.3</v>
      </c>
      <c r="B16" s="7" t="str">
        <f>'Planning Poker'!B14</f>
        <v>Ambiente de Desenvolvimento e Ferramentas</v>
      </c>
      <c r="C16" s="13">
        <f>'Planning Poker'!C14</f>
        <v>2</v>
      </c>
      <c r="D16" s="13"/>
      <c r="E16" s="13">
        <f>IF('Planning Poker'!J14="","",'Planning Poker'!J14)</f>
        <v>1</v>
      </c>
      <c r="F16" s="14"/>
      <c r="G16" s="15"/>
      <c r="H16" s="17">
        <f t="shared" si="1"/>
        <v>0</v>
      </c>
      <c r="I16" s="18"/>
    </row>
    <row r="17">
      <c r="A17" s="13" t="str">
        <f>'Planning Poker'!A15</f>
        <v>3.4</v>
      </c>
      <c r="B17" s="7" t="str">
        <f>'Planning Poker'!B15</f>
        <v>Modelagem do Banco de Dados</v>
      </c>
      <c r="C17" s="13">
        <f>'Planning Poker'!C15</f>
        <v>2</v>
      </c>
      <c r="D17" s="13"/>
      <c r="E17" s="13">
        <f>IF('Planning Poker'!J15="","",'Planning Poker'!J15)</f>
        <v>5</v>
      </c>
      <c r="F17" s="14"/>
      <c r="G17" s="15"/>
      <c r="H17" s="17">
        <f t="shared" si="1"/>
        <v>0</v>
      </c>
      <c r="I17" s="18"/>
    </row>
    <row r="18">
      <c r="A18" s="13" t="str">
        <f>'Planning Poker'!A16</f>
        <v>3.5</v>
      </c>
      <c r="B18" s="7" t="str">
        <f>'Planning Poker'!B16</f>
        <v>Configuração de Deploy e Hospedagem</v>
      </c>
      <c r="C18" s="13">
        <f>'Planning Poker'!C16</f>
        <v>2</v>
      </c>
      <c r="D18" s="13"/>
      <c r="E18" s="13">
        <f>IF('Planning Poker'!J16="","",'Planning Poker'!J16)</f>
        <v>3</v>
      </c>
      <c r="F18" s="14"/>
      <c r="G18" s="15"/>
      <c r="H18" s="17">
        <f t="shared" si="1"/>
        <v>0</v>
      </c>
      <c r="I18" s="18"/>
    </row>
    <row r="19">
      <c r="A19" s="13" t="str">
        <f>'Planning Poker'!A17</f>
        <v>4.1</v>
      </c>
      <c r="B19" s="7" t="str">
        <f>'Planning Poker'!B17</f>
        <v>Integração com API Externa + cache</v>
      </c>
      <c r="C19" s="13">
        <f>'Planning Poker'!C17</f>
        <v>2</v>
      </c>
      <c r="D19" s="13"/>
      <c r="E19" s="13">
        <f>IF('Planning Poker'!J17="","",'Planning Poker'!J17)</f>
        <v>5</v>
      </c>
      <c r="F19" s="14"/>
      <c r="G19" s="15"/>
      <c r="H19" s="17">
        <f t="shared" si="1"/>
        <v>0</v>
      </c>
      <c r="I19" s="18"/>
    </row>
    <row r="20">
      <c r="A20" s="13" t="str">
        <f>'Planning Poker'!A18</f>
        <v>4.2</v>
      </c>
      <c r="B20" s="7" t="str">
        <f>'Planning Poker'!B18</f>
        <v>Mecanismo de Busca (álbuns, faixas, artistas)</v>
      </c>
      <c r="C20" s="13">
        <f>'Planning Poker'!C18</f>
        <v>2</v>
      </c>
      <c r="D20" s="13"/>
      <c r="E20" s="13">
        <f>IF('Planning Poker'!J18="","",'Planning Poker'!J18)</f>
        <v>5</v>
      </c>
      <c r="F20" s="14"/>
      <c r="G20" s="15"/>
      <c r="H20" s="17">
        <f t="shared" si="1"/>
        <v>0</v>
      </c>
      <c r="I20" s="18"/>
    </row>
    <row r="21" ht="15.75" customHeight="1">
      <c r="A21" s="13" t="str">
        <f>'Planning Poker'!A19</f>
        <v>4.3</v>
      </c>
      <c r="B21" s="7" t="str">
        <f>'Planning Poker'!B19</f>
        <v>Tela de Detalhes da Obra</v>
      </c>
      <c r="C21" s="13">
        <f>'Planning Poker'!C19</f>
        <v>2</v>
      </c>
      <c r="D21" s="13"/>
      <c r="E21" s="13">
        <f>IF('Planning Poker'!J19="","",'Planning Poker'!J19)</f>
        <v>5</v>
      </c>
      <c r="F21" s="14"/>
      <c r="G21" s="15"/>
      <c r="H21" s="17">
        <f t="shared" si="1"/>
        <v>0</v>
      </c>
      <c r="I21" s="18"/>
    </row>
    <row r="22" ht="15.75" customHeight="1">
      <c r="A22" s="13" t="str">
        <f>'Planning Poker'!A20</f>
        <v>5.1</v>
      </c>
      <c r="B22" s="7" t="str">
        <f>'Planning Poker'!B20</f>
        <v>Cadastro e Autenticação (login/logout)</v>
      </c>
      <c r="C22" s="13">
        <f>'Planning Poker'!C20</f>
        <v>2</v>
      </c>
      <c r="D22" s="13"/>
      <c r="E22" s="13">
        <f>IF('Planning Poker'!J20="","",'Planning Poker'!J20)</f>
        <v>8</v>
      </c>
      <c r="F22" s="14"/>
      <c r="G22" s="15"/>
      <c r="H22" s="17">
        <f t="shared" si="1"/>
        <v>0</v>
      </c>
      <c r="I22" s="18"/>
    </row>
    <row r="23" ht="15.75" customHeight="1">
      <c r="A23" s="13" t="str">
        <f>'Planning Poker'!A21</f>
        <v>5.2</v>
      </c>
      <c r="B23" s="7" t="str">
        <f>'Planning Poker'!B21</f>
        <v>Perfil de Usuário (ver, editar, favoritos)</v>
      </c>
      <c r="C23" s="13">
        <f>'Planning Poker'!C21</f>
        <v>2</v>
      </c>
      <c r="D23" s="13"/>
      <c r="E23" s="13">
        <f>IF('Planning Poker'!J21="","",'Planning Poker'!J21)</f>
        <v>8</v>
      </c>
      <c r="F23" s="14"/>
      <c r="G23" s="15"/>
      <c r="H23" s="17">
        <f t="shared" si="1"/>
        <v>0</v>
      </c>
      <c r="I23" s="18"/>
    </row>
    <row r="24" ht="15.75" customHeight="1">
      <c r="A24" s="13" t="str">
        <f>'Planning Poker'!A22</f>
        <v>5.3</v>
      </c>
      <c r="B24" s="7" t="str">
        <f>'Planning Poker'!B22</f>
        <v>Registro de Escuta (Log) com data</v>
      </c>
      <c r="C24" s="13">
        <f>'Planning Poker'!C22</f>
        <v>2</v>
      </c>
      <c r="D24" s="13"/>
      <c r="E24" s="13">
        <f>IF('Planning Poker'!J22="","",'Planning Poker'!J22)</f>
        <v>5</v>
      </c>
      <c r="F24" s="14"/>
      <c r="G24" s="15"/>
      <c r="H24" s="17">
        <f t="shared" si="1"/>
        <v>0</v>
      </c>
      <c r="I24" s="18"/>
    </row>
    <row r="25" ht="15.75" customHeight="1">
      <c r="A25" s="13" t="str">
        <f>'Planning Poker'!A23</f>
        <v>5.4</v>
      </c>
      <c r="B25" s="7" t="str">
        <f>'Planning Poker'!B23</f>
        <v>Atribuição de Notas e Resenhas</v>
      </c>
      <c r="C25" s="13">
        <f>'Planning Poker'!C23</f>
        <v>2</v>
      </c>
      <c r="D25" s="13"/>
      <c r="E25" s="13">
        <f>IF('Planning Poker'!J23="","",'Planning Poker'!J23)</f>
        <v>5</v>
      </c>
      <c r="F25" s="14"/>
      <c r="G25" s="15"/>
      <c r="H25" s="17">
        <f t="shared" si="1"/>
        <v>0</v>
      </c>
      <c r="I25" s="18"/>
    </row>
    <row r="26" ht="15.75" customHeight="1">
      <c r="A26" s="13" t="str">
        <f>'Planning Poker'!A24</f>
        <v>6.1</v>
      </c>
      <c r="B26" s="7" t="str">
        <f>'Planning Poker'!B24</f>
        <v>Criar, Editar e Exibir Listas Temáticas</v>
      </c>
      <c r="C26" s="13">
        <f>'Planning Poker'!C24</f>
        <v>3</v>
      </c>
      <c r="D26" s="13"/>
      <c r="E26" s="13">
        <f>IF('Planning Poker'!J24="","",'Planning Poker'!J24)</f>
        <v>5</v>
      </c>
      <c r="F26" s="14"/>
      <c r="G26" s="15"/>
      <c r="H26" s="17">
        <f t="shared" si="1"/>
        <v>0</v>
      </c>
      <c r="I26" s="18"/>
    </row>
    <row r="27" ht="15.75" customHeight="1">
      <c r="A27" s="13" t="str">
        <f>'Planning Poker'!A25</f>
        <v>6.2</v>
      </c>
      <c r="B27" s="7" t="str">
        <f>'Planning Poker'!B25</f>
        <v>Feed Social e Mecanismo de Seguir</v>
      </c>
      <c r="C27" s="13">
        <f>'Planning Poker'!C25</f>
        <v>3</v>
      </c>
      <c r="D27" s="13"/>
      <c r="E27" s="13">
        <f>IF('Planning Poker'!J25="","",'Planning Poker'!J25)</f>
        <v>13</v>
      </c>
      <c r="F27" s="14"/>
      <c r="G27" s="15"/>
      <c r="H27" s="17">
        <f t="shared" si="1"/>
        <v>0</v>
      </c>
      <c r="I27" s="18"/>
    </row>
    <row r="28" ht="15.75" customHeight="1">
      <c r="A28" s="13" t="str">
        <f>'Planning Poker'!A26</f>
        <v>6.3</v>
      </c>
      <c r="B28" s="7" t="str">
        <f>'Planning Poker'!B26</f>
        <v>Interação (Curtir e Comentar)</v>
      </c>
      <c r="C28" s="13">
        <f>'Planning Poker'!C26</f>
        <v>3</v>
      </c>
      <c r="D28" s="13"/>
      <c r="E28" s="13">
        <f>IF('Planning Poker'!J26="","",'Planning Poker'!J26)</f>
        <v>8</v>
      </c>
      <c r="F28" s="14"/>
      <c r="G28" s="15"/>
      <c r="H28" s="17">
        <f t="shared" si="1"/>
        <v>0</v>
      </c>
      <c r="I28" s="18"/>
    </row>
    <row r="29" ht="15.75" customHeight="1">
      <c r="A29" s="13" t="str">
        <f>'Planning Poker'!A27</f>
        <v>7.1</v>
      </c>
      <c r="B29" s="7" t="str">
        <f>'Planning Poker'!B27</f>
        <v>Testes de Integração da API</v>
      </c>
      <c r="C29" s="13">
        <f>'Planning Poker'!C27</f>
        <v>3</v>
      </c>
      <c r="D29" s="13"/>
      <c r="E29" s="13">
        <f>IF('Planning Poker'!J27="","",'Planning Poker'!J27)</f>
        <v>5</v>
      </c>
      <c r="F29" s="14"/>
      <c r="G29" s="15"/>
      <c r="H29" s="17">
        <f t="shared" si="1"/>
        <v>0</v>
      </c>
      <c r="I29" s="18"/>
    </row>
    <row r="30" ht="15.75" customHeight="1">
      <c r="A30" s="13" t="str">
        <f>'Planning Poker'!A28</f>
        <v>7.2</v>
      </c>
      <c r="B30" s="7" t="str">
        <f>'Planning Poker'!B28</f>
        <v>Testes Funcionais das Regras</v>
      </c>
      <c r="C30" s="13">
        <f>'Planning Poker'!C28</f>
        <v>3</v>
      </c>
      <c r="D30" s="13"/>
      <c r="E30" s="13">
        <f>IF('Planning Poker'!J28="","",'Planning Poker'!J28)</f>
        <v>5</v>
      </c>
      <c r="F30" s="14"/>
      <c r="G30" s="15"/>
      <c r="H30" s="17">
        <f t="shared" si="1"/>
        <v>0</v>
      </c>
      <c r="I30" s="18"/>
    </row>
    <row r="31" ht="15.75" customHeight="1">
      <c r="A31" s="13" t="str">
        <f>'Planning Poker'!A29</f>
        <v>7.3</v>
      </c>
      <c r="B31" s="7" t="str">
        <f>'Planning Poker'!B29</f>
        <v>Ajustes de Usabilidade</v>
      </c>
      <c r="C31" s="13">
        <f>'Planning Poker'!C29</f>
        <v>3</v>
      </c>
      <c r="D31" s="13"/>
      <c r="E31" s="13">
        <f>IF('Planning Poker'!J29="","",'Planning Poker'!J29)</f>
        <v>5</v>
      </c>
      <c r="F31" s="14"/>
      <c r="G31" s="15"/>
      <c r="H31" s="17">
        <f t="shared" si="1"/>
        <v>0</v>
      </c>
      <c r="I31" s="18"/>
    </row>
    <row r="32" ht="15.75" customHeight="1">
      <c r="A32" s="13" t="str">
        <f>'Planning Poker'!A30</f>
        <v>7.4</v>
      </c>
      <c r="B32" s="7" t="str">
        <f>'Planning Poker'!B30</f>
        <v>Preparação de Artefatos e Apresentações</v>
      </c>
      <c r="C32" s="13">
        <f>'Planning Poker'!C30</f>
        <v>1</v>
      </c>
      <c r="D32" s="13" t="s">
        <v>21</v>
      </c>
      <c r="E32" s="13">
        <f>IF('Planning Poker'!J30="","",'Planning Poker'!J30)</f>
        <v>3</v>
      </c>
      <c r="F32" s="14">
        <v>1.0</v>
      </c>
      <c r="G32" s="15">
        <v>3.0</v>
      </c>
      <c r="H32" s="17">
        <f t="shared" si="1"/>
        <v>3</v>
      </c>
      <c r="I32" s="18"/>
    </row>
    <row r="33" ht="15.75" customHeight="1">
      <c r="A33" s="13" t="str">
        <f>'Planning Poker'!A31</f>
        <v>7.5</v>
      </c>
      <c r="B33" s="7" t="str">
        <f>'Planning Poker'!B31</f>
        <v>Consolidação Final e Entrega</v>
      </c>
      <c r="C33" s="13">
        <f>'Planning Poker'!C31</f>
        <v>3</v>
      </c>
      <c r="D33" s="13"/>
      <c r="E33" s="13">
        <f>IF('Planning Poker'!J31="","",'Planning Poker'!J31)</f>
        <v>1</v>
      </c>
      <c r="F33" s="14"/>
      <c r="G33" s="15"/>
      <c r="H33" s="17">
        <f t="shared" si="1"/>
        <v>0</v>
      </c>
      <c r="I33" s="18"/>
    </row>
    <row r="34" ht="35.25" customHeight="1">
      <c r="D34" s="33" t="s">
        <v>87</v>
      </c>
      <c r="E34" s="33">
        <f>SUM(E6:E33)</f>
        <v>132</v>
      </c>
      <c r="F34" s="28"/>
      <c r="G34" s="33">
        <f t="shared" ref="G34:H34" si="2">SUM(G6:G33)</f>
        <v>42</v>
      </c>
      <c r="H34" s="33">
        <f t="shared" si="2"/>
        <v>38</v>
      </c>
    </row>
    <row r="35" ht="15.75" customHeight="1"/>
    <row r="36" ht="15.75" customHeight="1">
      <c r="A36" s="34" t="s">
        <v>88</v>
      </c>
    </row>
    <row r="37" ht="15.75" customHeight="1">
      <c r="A37" s="4" t="s">
        <v>89</v>
      </c>
      <c r="B37" s="9" t="s">
        <v>90</v>
      </c>
      <c r="C37" s="4" t="s">
        <v>91</v>
      </c>
    </row>
    <row r="38" ht="15.75" customHeight="1">
      <c r="A38" s="35" t="s">
        <v>92</v>
      </c>
      <c r="B38" s="28">
        <f>SUMIF($C$6:$C$33,$B$3,$E$6:$E$33)</f>
        <v>40</v>
      </c>
      <c r="C38" s="28">
        <f>SUM(E6:E33)</f>
        <v>132</v>
      </c>
    </row>
    <row r="39" ht="15.75" customHeight="1">
      <c r="A39" s="35" t="s">
        <v>93</v>
      </c>
      <c r="B39" s="28">
        <f>SUMIF($C$6:$C$33,$B$3,$H$6:$H$33)</f>
        <v>38</v>
      </c>
      <c r="C39" s="28">
        <f>SUM(H6:H33)</f>
        <v>38</v>
      </c>
      <c r="H39" s="36"/>
    </row>
    <row r="40" ht="15.75" customHeight="1">
      <c r="A40" s="35" t="s">
        <v>94</v>
      </c>
      <c r="B40" s="28">
        <f>SUMIF($C$6:$C$33,$B$3,$G$6:$G$33)</f>
        <v>42</v>
      </c>
      <c r="C40" s="28">
        <f>SUM(G6:G33)</f>
        <v>42</v>
      </c>
    </row>
    <row r="41" ht="15.75" customHeight="1">
      <c r="A41" s="37" t="s">
        <v>95</v>
      </c>
      <c r="B41" s="38">
        <f t="shared" ref="B41:C41" si="3">IFERROR(B39/B38,"")</f>
        <v>0.95</v>
      </c>
      <c r="C41" s="38">
        <f t="shared" si="3"/>
        <v>0.2878787879</v>
      </c>
    </row>
    <row r="42" ht="15.75" customHeight="1">
      <c r="A42" s="37" t="s">
        <v>96</v>
      </c>
      <c r="B42" s="38">
        <f t="shared" ref="B42:C42" si="4">IFERROR(B39/B40,"")</f>
        <v>0.9047619048</v>
      </c>
      <c r="C42" s="38">
        <f t="shared" si="4"/>
        <v>0.9047619048</v>
      </c>
    </row>
    <row r="43" ht="15.75" customHeight="1"/>
    <row r="44" ht="15.75" customHeight="1">
      <c r="A44" s="39"/>
    </row>
    <row r="45" ht="15.75" customHeight="1">
      <c r="A45" s="4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howErrorMessage="1" sqref="D6:D33">
      <formula1>"Karine,Lucas,Ana Laura,Bruno,Daniel,João Vicente"</formula1>
    </dataValidation>
    <dataValidation type="list" allowBlank="1" sqref="B3">
      <formula1>"1,2,3"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6" width="12.0"/>
  </cols>
  <sheetData>
    <row r="1">
      <c r="A1" s="2" t="s">
        <v>2</v>
      </c>
    </row>
    <row r="3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</row>
    <row r="4">
      <c r="A4" s="7" t="s">
        <v>11</v>
      </c>
      <c r="B4" s="13">
        <f>SUMIF('Monitoramento (EVM)'!$D$6:$D$33,A4,'Monitoramento (EVM)'!$E$6:$E$33)</f>
        <v>6</v>
      </c>
      <c r="C4" s="13">
        <f>SUMIF('Monitoramento (EVM)'!$D$6:$D$33,A4,'Monitoramento (EVM)'!$H$6:$H$33)</f>
        <v>6</v>
      </c>
      <c r="D4" s="13">
        <f>SUMIF('Monitoramento (EVM)'!$D$6:$D$33,A4,'Monitoramento (EVM)'!$G$6:$G$33)</f>
        <v>7</v>
      </c>
      <c r="E4" s="16">
        <f t="shared" ref="E4:E10" si="1">IFERROR(C4/B4,"")</f>
        <v>1</v>
      </c>
      <c r="F4" s="16">
        <f t="shared" ref="F4:F10" si="2">IFERROR(C4/D4,"")</f>
        <v>0.8571428571</v>
      </c>
      <c r="G4" s="18"/>
    </row>
    <row r="5">
      <c r="A5" s="19" t="s">
        <v>17</v>
      </c>
      <c r="B5" s="13">
        <f>SUMIF('Monitoramento (EVM)'!$D$6:$D$33,A5,'Monitoramento (EVM)'!$E$6:$E$33)</f>
        <v>6</v>
      </c>
      <c r="C5" s="13">
        <f>SUMIF('Monitoramento (EVM)'!$D$6:$D$33,A5,'Monitoramento (EVM)'!$H$6:$H$33)</f>
        <v>6</v>
      </c>
      <c r="D5" s="13">
        <f>SUMIF('Monitoramento (EVM)'!$D$6:$D$33,A5,'Monitoramento (EVM)'!$G$6:$G$33)</f>
        <v>7</v>
      </c>
      <c r="E5" s="20">
        <f t="shared" si="1"/>
        <v>1</v>
      </c>
      <c r="F5" s="20">
        <f t="shared" si="2"/>
        <v>0.8571428571</v>
      </c>
      <c r="G5" s="18"/>
    </row>
    <row r="6">
      <c r="A6" s="19" t="s">
        <v>18</v>
      </c>
      <c r="B6" s="13">
        <f>SUMIF('Monitoramento (EVM)'!$D$6:$D$33,A6,'Monitoramento (EVM)'!$E$6:$E$33)</f>
        <v>10</v>
      </c>
      <c r="C6" s="13">
        <f>SUMIF('Monitoramento (EVM)'!$D$6:$D$33,A6,'Monitoramento (EVM)'!$H$6:$H$33)</f>
        <v>10</v>
      </c>
      <c r="D6" s="13">
        <f>SUMIF('Monitoramento (EVM)'!$D$6:$D$33,A6,'Monitoramento (EVM)'!$G$6:$G$33)</f>
        <v>8</v>
      </c>
      <c r="E6" s="20">
        <f t="shared" si="1"/>
        <v>1</v>
      </c>
      <c r="F6" s="20">
        <f t="shared" si="2"/>
        <v>1.25</v>
      </c>
      <c r="G6" s="18"/>
    </row>
    <row r="7">
      <c r="A7" s="19" t="s">
        <v>19</v>
      </c>
      <c r="B7" s="13">
        <f>SUMIF('Monitoramento (EVM)'!$D$6:$D$33,A7,'Monitoramento (EVM)'!$E$6:$E$33)</f>
        <v>3</v>
      </c>
      <c r="C7" s="13">
        <f>SUMIF('Monitoramento (EVM)'!$D$6:$D$33,A7,'Monitoramento (EVM)'!$H$6:$H$33)</f>
        <v>3</v>
      </c>
      <c r="D7" s="13">
        <f>SUMIF('Monitoramento (EVM)'!$D$6:$D$33,A7,'Monitoramento (EVM)'!$G$6:$G$33)</f>
        <v>5</v>
      </c>
      <c r="E7" s="20">
        <f t="shared" si="1"/>
        <v>1</v>
      </c>
      <c r="F7" s="20">
        <f t="shared" si="2"/>
        <v>0.6</v>
      </c>
      <c r="G7" s="18"/>
    </row>
    <row r="8">
      <c r="A8" s="19" t="s">
        <v>20</v>
      </c>
      <c r="B8" s="13">
        <f>SUMIF('Monitoramento (EVM)'!$D$6:$D$33,A8,'Monitoramento (EVM)'!$E$6:$E$33)</f>
        <v>11</v>
      </c>
      <c r="C8" s="13">
        <f>SUMIF('Monitoramento (EVM)'!$D$6:$D$33,A8,'Monitoramento (EVM)'!$H$6:$H$33)</f>
        <v>9</v>
      </c>
      <c r="D8" s="13">
        <f>SUMIF('Monitoramento (EVM)'!$D$6:$D$33,A8,'Monitoramento (EVM)'!$G$6:$G$33)</f>
        <v>11</v>
      </c>
      <c r="E8" s="20">
        <f t="shared" si="1"/>
        <v>0.8181818182</v>
      </c>
      <c r="F8" s="20">
        <f t="shared" si="2"/>
        <v>0.8181818182</v>
      </c>
      <c r="G8" s="18"/>
    </row>
    <row r="9">
      <c r="A9" s="19" t="s">
        <v>21</v>
      </c>
      <c r="B9" s="13">
        <f>SUMIF('Monitoramento (EVM)'!$D$6:$D$33,A9,'Monitoramento (EVM)'!$E$6:$E$33)</f>
        <v>4</v>
      </c>
      <c r="C9" s="13">
        <f>SUMIF('Monitoramento (EVM)'!$D$6:$D$33,A9,'Monitoramento (EVM)'!$H$6:$H$33)</f>
        <v>4</v>
      </c>
      <c r="D9" s="13">
        <f>SUMIF('Monitoramento (EVM)'!$D$6:$D$33,A9,'Monitoramento (EVM)'!$G$6:$G$33)</f>
        <v>4</v>
      </c>
      <c r="E9" s="20">
        <f t="shared" si="1"/>
        <v>1</v>
      </c>
      <c r="F9" s="20">
        <f t="shared" si="2"/>
        <v>1</v>
      </c>
      <c r="G9" s="18"/>
    </row>
    <row r="10">
      <c r="A10" s="21" t="s">
        <v>59</v>
      </c>
      <c r="B10" s="22">
        <f t="shared" ref="B10:D10" si="3">SUM(B4:B9)</f>
        <v>40</v>
      </c>
      <c r="C10" s="22">
        <f t="shared" si="3"/>
        <v>38</v>
      </c>
      <c r="D10" s="22">
        <f t="shared" si="3"/>
        <v>42</v>
      </c>
      <c r="E10" s="23">
        <f t="shared" si="1"/>
        <v>0.95</v>
      </c>
      <c r="F10" s="23">
        <f t="shared" si="2"/>
        <v>0.9047619048</v>
      </c>
      <c r="G10" s="18"/>
    </row>
    <row r="11">
      <c r="A11" s="18"/>
      <c r="B11" s="18"/>
      <c r="C11" s="18"/>
      <c r="D11" s="18"/>
      <c r="E11" s="18"/>
      <c r="F11" s="18"/>
      <c r="G11" s="18"/>
    </row>
    <row r="12">
      <c r="A12" s="18"/>
      <c r="B12" s="18"/>
      <c r="C12" s="18"/>
      <c r="D12" s="18"/>
      <c r="E12" s="18"/>
      <c r="F12" s="18"/>
      <c r="G1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86"/>
    <col customWidth="1" min="2" max="2" width="19.0"/>
    <col customWidth="1" min="3" max="3" width="18.71"/>
    <col customWidth="1" min="4" max="4" width="16.71"/>
    <col customWidth="1" min="5" max="6" width="8.71"/>
  </cols>
  <sheetData>
    <row r="1">
      <c r="A1" s="2" t="s">
        <v>68</v>
      </c>
    </row>
    <row r="2">
      <c r="A2" s="2"/>
    </row>
    <row r="3">
      <c r="A3" s="24" t="s">
        <v>71</v>
      </c>
      <c r="B3" s="25"/>
      <c r="D3" s="3"/>
    </row>
    <row r="4">
      <c r="A4" s="26"/>
      <c r="B4" s="25"/>
      <c r="D4" s="3"/>
    </row>
    <row r="5">
      <c r="A5" s="26" t="s">
        <v>74</v>
      </c>
      <c r="B5" s="27">
        <f>'Monitoramento (EVM)'!B38</f>
        <v>40</v>
      </c>
      <c r="D5" s="3" t="s">
        <v>77</v>
      </c>
      <c r="E5" s="5">
        <v>19.0</v>
      </c>
    </row>
    <row r="7">
      <c r="A7" s="4" t="s">
        <v>79</v>
      </c>
      <c r="B7" s="9" t="s">
        <v>81</v>
      </c>
      <c r="C7" s="9" t="s">
        <v>82</v>
      </c>
    </row>
    <row r="8">
      <c r="A8" s="28">
        <v>0.0</v>
      </c>
      <c r="B8" s="29">
        <f t="shared" ref="B8:B12" si="1">IF(A8&gt;$E$5,"",ROUND($B$5*(1-A8/$E$5),1))</f>
        <v>40</v>
      </c>
      <c r="C8" s="30">
        <v>40.0</v>
      </c>
    </row>
    <row r="9">
      <c r="A9" s="31">
        <v>5.0</v>
      </c>
      <c r="B9" s="29">
        <f t="shared" si="1"/>
        <v>29.5</v>
      </c>
      <c r="C9" s="30">
        <v>40.0</v>
      </c>
    </row>
    <row r="10">
      <c r="A10" s="31">
        <v>10.0</v>
      </c>
      <c r="B10" s="29">
        <f t="shared" si="1"/>
        <v>18.9</v>
      </c>
      <c r="C10" s="32">
        <v>32.0</v>
      </c>
    </row>
    <row r="11">
      <c r="A11" s="31">
        <v>15.0</v>
      </c>
      <c r="B11" s="29">
        <f t="shared" si="1"/>
        <v>8.4</v>
      </c>
      <c r="C11" s="32">
        <v>28.0</v>
      </c>
    </row>
    <row r="12">
      <c r="A12" s="31">
        <v>19.0</v>
      </c>
      <c r="B12" s="29">
        <f t="shared" si="1"/>
        <v>0</v>
      </c>
      <c r="C12" s="32">
        <v>0.0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2026-09-07T21:00:33Z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