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" sheetId="1" r:id="rId4"/>
  </sheets>
  <definedNames/>
  <calcPr/>
</workbook>
</file>

<file path=xl/sharedStrings.xml><?xml version="1.0" encoding="utf-8"?>
<sst xmlns="http://schemas.openxmlformats.org/spreadsheetml/2006/main" count="41" uniqueCount="37">
  <si>
    <t>Custo e Orçamento</t>
  </si>
  <si>
    <t>Valor de referência por dia de trabalho (R$/dia):</t>
  </si>
  <si>
    <t>1. Recursos e custo real</t>
  </si>
  <si>
    <t>Categoria</t>
  </si>
  <si>
    <t>Recurso</t>
  </si>
  <si>
    <t>Custo real (R$)</t>
  </si>
  <si>
    <t>Humanos</t>
  </si>
  <si>
    <t>Equipe - 6 estudantes</t>
  </si>
  <si>
    <t>Capital</t>
  </si>
  <si>
    <t>Notebooks próprios (6)</t>
  </si>
  <si>
    <t>Consumo</t>
  </si>
  <si>
    <t>Internet e energia</t>
  </si>
  <si>
    <t>Miro público</t>
  </si>
  <si>
    <t>GitHub público</t>
  </si>
  <si>
    <t>Figma (plano gratuito)</t>
  </si>
  <si>
    <t>API pública (Last.fm / Spotify)</t>
  </si>
  <si>
    <t>Total (custo real desembolsado)</t>
  </si>
  <si>
    <t>2. Custo e desembolsos por marco (entrega)</t>
  </si>
  <si>
    <t>Marco</t>
  </si>
  <si>
    <t>Data</t>
  </si>
  <si>
    <t>Esforço (points)</t>
  </si>
  <si>
    <t>Esforço
(dias)</t>
  </si>
  <si>
    <t>Custo mão de obra (R$)</t>
  </si>
  <si>
    <t>Entrega 1 (Rodada 1)</t>
  </si>
  <si>
    <t>08/09/2026</t>
  </si>
  <si>
    <t>Entrega 2 (Rodada 2)</t>
  </si>
  <si>
    <t>06/10/2026</t>
  </si>
  <si>
    <t>Entrega 3 (Rodada 3)</t>
  </si>
  <si>
    <t>10/11/2026</t>
  </si>
  <si>
    <t>Total</t>
  </si>
  <si>
    <t>3. Resumo do orçamento</t>
  </si>
  <si>
    <t>Esforço total do projeto (pessoa-dias)</t>
  </si>
  <si>
    <t>Valor de referência por dia</t>
  </si>
  <si>
    <t>Custo estimado de mão de obra (nominal)</t>
  </si>
  <si>
    <t>Custo real desembolsado</t>
  </si>
  <si>
    <t>Margem de lucro (projeto não comercial)</t>
  </si>
  <si>
    <t>ORÇAMENTO DO PROJETO (real = custo real + margem)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</si>
</sst>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11">
    <font>
      <sz val="10.0"/>
      <color rgb="FF000000"/>
      <name val="Arial"/>
    </font>
    <font>
      <b/>
      <sz val="14.0"/>
      <color rgb="FF1F3864"/>
      <name val="Arial"/>
    </font>
    <font>
      <sz val="11.0"/>
      <name val="Calibri"/>
    </font>
    <font>
      <sz val="9.0"/>
      <color rgb="FF595959"/>
      <name val="Arial"/>
    </font>
    <font>
      <b/>
      <name val="Arial"/>
    </font>
    <font>
      <i/>
      <sz val="9.0"/>
      <color rgb="FF595959"/>
      <name val="Arial"/>
    </font>
    <font>
      <b/>
      <sz val="12.0"/>
      <color rgb="FF1F3864"/>
      <name val="Arial"/>
    </font>
    <font>
      <b/>
      <color rgb="FFFFFFFF"/>
      <name val="Arial"/>
    </font>
    <font>
      <name val="Arial"/>
    </font>
    <font/>
    <font>
      <b/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2E4C8A"/>
        <bgColor rgb="FF2E4C8A"/>
      </patternFill>
    </fill>
    <fill>
      <patternFill patternType="solid">
        <fgColor rgb="FFFFFFFF"/>
        <bgColor rgb="FFFFFFFF"/>
      </patternFill>
    </fill>
    <fill>
      <patternFill patternType="solid">
        <fgColor rgb="FFEAEFF9"/>
        <bgColor rgb="FFEAEFF9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1" fillId="2" fontId="4" numFmtId="164" xfId="0" applyAlignment="1" applyBorder="1" applyFill="1" applyFont="1" applyNumberFormat="1">
      <alignment horizontal="center"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3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8" numFmtId="164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center" shrinkToFit="0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4" fontId="2" numFmtId="164" xfId="0" applyAlignment="1" applyBorder="1" applyFill="1" applyFont="1" applyNumberFormat="1">
      <alignment horizontal="center" shrinkToFit="0" wrapText="1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2" fillId="0" fontId="4" numFmtId="0" xfId="0" applyAlignment="1" applyBorder="1" applyFont="1">
      <alignment vertical="bottom"/>
    </xf>
    <xf borderId="3" fillId="0" fontId="9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vertical="bottom"/>
    </xf>
    <xf borderId="4" fillId="0" fontId="9" numFmtId="0" xfId="0" applyBorder="1" applyFont="1"/>
    <xf borderId="1" fillId="0" fontId="8" numFmtId="0" xfId="0" applyAlignment="1" applyBorder="1" applyFont="1">
      <alignment horizontal="center" shrinkToFit="0" wrapText="1"/>
    </xf>
    <xf borderId="2" fillId="5" fontId="4" numFmtId="0" xfId="0" applyAlignment="1" applyBorder="1" applyFill="1" applyFont="1">
      <alignment vertical="bottom"/>
    </xf>
    <xf borderId="1" fillId="5" fontId="4" numFmtId="164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3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C3" s="5">
        <v>0.0</v>
      </c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3</v>
      </c>
      <c r="B6" s="8" t="s">
        <v>4</v>
      </c>
      <c r="C6" s="8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6</v>
      </c>
      <c r="B7" s="10" t="s">
        <v>7</v>
      </c>
      <c r="C7" s="11">
        <v>0.0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8</v>
      </c>
      <c r="B8" s="9" t="s">
        <v>9</v>
      </c>
      <c r="C8" s="11">
        <v>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10</v>
      </c>
      <c r="B9" s="9" t="s">
        <v>11</v>
      </c>
      <c r="C9" s="11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10</v>
      </c>
      <c r="B10" s="9" t="s">
        <v>12</v>
      </c>
      <c r="C10" s="11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10</v>
      </c>
      <c r="B11" s="9" t="s">
        <v>13</v>
      </c>
      <c r="C11" s="11">
        <v>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10</v>
      </c>
      <c r="B12" s="9" t="s">
        <v>14</v>
      </c>
      <c r="C12" s="11">
        <v>0.0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10</v>
      </c>
      <c r="B13" s="10" t="s">
        <v>15</v>
      </c>
      <c r="C13" s="11">
        <v>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 t="s">
        <v>16</v>
      </c>
      <c r="C14" s="13">
        <f>SUM(C7:C13)</f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18</v>
      </c>
      <c r="B17" s="8" t="s">
        <v>19</v>
      </c>
      <c r="C17" s="14" t="s">
        <v>20</v>
      </c>
      <c r="D17" s="14" t="s">
        <v>21</v>
      </c>
      <c r="E17" s="8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 t="s">
        <v>23</v>
      </c>
      <c r="B18" s="16" t="s">
        <v>24</v>
      </c>
      <c r="C18" s="17">
        <v>40.0</v>
      </c>
      <c r="D18" s="17">
        <v>24.5</v>
      </c>
      <c r="E18" s="18">
        <f t="shared" ref="E18:E20" si="1">D18*$C$3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25</v>
      </c>
      <c r="B19" s="20" t="s">
        <v>26</v>
      </c>
      <c r="C19" s="21">
        <v>50.0</v>
      </c>
      <c r="D19" s="17">
        <v>30.5</v>
      </c>
      <c r="E19" s="18">
        <f t="shared" si="1"/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27</v>
      </c>
      <c r="B20" s="16" t="s">
        <v>28</v>
      </c>
      <c r="C20" s="17">
        <v>42.0</v>
      </c>
      <c r="D20" s="17">
        <v>27.5</v>
      </c>
      <c r="E20" s="18">
        <f t="shared" si="1"/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2" t="s">
        <v>29</v>
      </c>
      <c r="B21" s="23"/>
      <c r="C21" s="24">
        <f t="shared" ref="C21:E21" si="2">SUM(C18:C20)</f>
        <v>132</v>
      </c>
      <c r="D21" s="25">
        <f t="shared" si="2"/>
        <v>82.5</v>
      </c>
      <c r="E21" s="13">
        <f t="shared" si="2"/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6" t="s">
        <v>31</v>
      </c>
      <c r="B24" s="27"/>
      <c r="C24" s="27"/>
      <c r="D24" s="23"/>
      <c r="E24" s="28">
        <f>C21</f>
        <v>132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6" t="s">
        <v>32</v>
      </c>
      <c r="B25" s="27"/>
      <c r="C25" s="27"/>
      <c r="D25" s="23"/>
      <c r="E25" s="11">
        <f>C3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6" t="s">
        <v>33</v>
      </c>
      <c r="B26" s="27"/>
      <c r="C26" s="27"/>
      <c r="D26" s="23"/>
      <c r="E26" s="11">
        <f>C21*C3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6" t="s">
        <v>34</v>
      </c>
      <c r="B27" s="27"/>
      <c r="C27" s="27"/>
      <c r="D27" s="23"/>
      <c r="E27" s="11">
        <f>C14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6" t="s">
        <v>35</v>
      </c>
      <c r="B28" s="27"/>
      <c r="C28" s="27"/>
      <c r="D28" s="23"/>
      <c r="E28" s="11">
        <v>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9" t="s">
        <v>36</v>
      </c>
      <c r="B29" s="27"/>
      <c r="C29" s="27"/>
      <c r="D29" s="23"/>
      <c r="E29" s="30">
        <f>E14+0</f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2">
    <mergeCell ref="A29:D29"/>
    <mergeCell ref="A31:E31"/>
    <mergeCell ref="A32:E32"/>
    <mergeCell ref="A33:E33"/>
    <mergeCell ref="A34:E34"/>
    <mergeCell ref="A3:B3"/>
    <mergeCell ref="A21:B21"/>
    <mergeCell ref="A24:D24"/>
    <mergeCell ref="A25:D25"/>
    <mergeCell ref="A26:D26"/>
    <mergeCell ref="A27:D27"/>
    <mergeCell ref="A28:D28"/>
  </mergeCells>
  <drawing r:id="rId1"/>
</worksheet>
</file>